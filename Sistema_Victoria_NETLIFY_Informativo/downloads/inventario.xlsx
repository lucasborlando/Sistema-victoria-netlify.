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35" windowWidth="8115" windowHeight="4395" tabRatio="600" firstSheet="0" activeTab="0" autoFilterDateGrouping="1"/>
  </bookViews>
  <sheets>
    <sheet name="CARGO BAVE 2015" sheetId="1" state="visible" r:id="rId1"/>
    <sheet name="Hoja1" sheetId="2" state="visible" r:id="rId2"/>
  </sheets>
  <definedNames>
    <definedName name="_xlnm.Print_Area" localSheetId="0">'CARGO BAVE 2015'!$A$1:$J$107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sz val="8"/>
    </font>
    <font>
      <name val="Times New Roman"/>
      <family val="1"/>
      <color indexed="8"/>
      <sz val="14"/>
    </font>
    <font>
      <name val="Arial"/>
      <family val="2"/>
      <color theme="1"/>
      <sz val="10"/>
    </font>
    <font>
      <name val="Times New Roman"/>
      <family val="1"/>
      <color theme="1"/>
      <sz val="14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rgb="FFFF0000"/>
      <sz val="14"/>
    </font>
    <font>
      <name val="Times New Roman"/>
      <family val="1"/>
      <sz val="14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7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2" borderId="2" applyAlignment="1" pivotButton="0" quotePrefix="0" xfId="2">
      <alignment horizontal="center"/>
    </xf>
    <xf numFmtId="0" fontId="6" fillId="0" borderId="2" applyAlignment="1" pivotButton="0" quotePrefix="0" xfId="0">
      <alignment horizontal="center"/>
    </xf>
    <xf numFmtId="0" fontId="6" fillId="2" borderId="3" applyAlignment="1" pivotButton="0" quotePrefix="0" xfId="2">
      <alignment horizontal="center"/>
    </xf>
    <xf numFmtId="0" fontId="6" fillId="0" borderId="3" applyAlignment="1" pivotButton="0" quotePrefix="0" xfId="0">
      <alignment horizontal="center"/>
    </xf>
    <xf numFmtId="1" fontId="6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/>
    </xf>
    <xf numFmtId="0" fontId="6" fillId="0" borderId="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10" fillId="0" borderId="7" applyAlignment="1" pivotButton="0" quotePrefix="0" xfId="0">
      <alignment horizontal="left" vertical="top"/>
    </xf>
    <xf numFmtId="0" fontId="9" fillId="0" borderId="5" applyAlignment="1" pivotButton="0" quotePrefix="0" xfId="0">
      <alignment horizontal="left" vertical="top"/>
    </xf>
    <xf numFmtId="0" fontId="9" fillId="0" borderId="6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1" fontId="8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6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7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left" vertical="top"/>
    </xf>
    <xf numFmtId="0" fontId="0" fillId="0" borderId="5" pivotButton="0" quotePrefix="0" xfId="0"/>
    <xf numFmtId="0" fontId="6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top"/>
    </xf>
  </cellXfs>
  <cellStyles count="3">
    <cellStyle name="Normal" xfId="0" builtinId="0"/>
    <cellStyle name="Euro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tabSelected="1" topLeftCell="A81" zoomScale="70" zoomScaleNormal="70" zoomScaleSheetLayoutView="100" workbookViewId="0">
      <selection activeCell="H111" sqref="H111"/>
    </sheetView>
  </sheetViews>
  <sheetFormatPr baseColWidth="10" defaultRowHeight="15"/>
  <cols>
    <col width="1.140625" customWidth="1" style="4" min="1" max="1"/>
    <col width="20.140625" customWidth="1" style="1" min="2" max="2"/>
    <col width="14" customWidth="1" style="1" min="3" max="3"/>
    <col width="11.42578125" customWidth="1" style="1" min="4" max="4"/>
    <col width="36.28515625" customWidth="1" style="1" min="5" max="5"/>
    <col width="8.85546875" customWidth="1" style="1" min="6" max="7"/>
    <col width="9.85546875" bestFit="1" customWidth="1" style="1" min="8" max="8"/>
    <col width="10.42578125" customWidth="1" style="1" min="9" max="9"/>
    <col width="11.5703125" customWidth="1" style="1" min="10" max="10"/>
    <col width="16.7109375" customWidth="1" style="4" min="12" max="13"/>
  </cols>
  <sheetData>
    <row r="1" ht="18.75" customHeight="1" s="4">
      <c r="B1" s="35" t="inlineStr">
        <is>
          <t xml:space="preserve">         EJÉRCITO DE CHILE</t>
        </is>
      </c>
      <c r="E1" s="22" t="n"/>
      <c r="F1" s="34" t="inlineStr">
        <is>
          <t>EJEMPLAR N.º___/  HOJA N.º___/</t>
        </is>
      </c>
    </row>
    <row r="2" ht="18.75" customHeight="1" s="4">
      <c r="B2" s="22" t="inlineStr">
        <is>
          <t>COMANDO DE OPERACIONES ESPECIALES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8.75" customHeight="1" s="4">
      <c r="B3" s="22" t="inlineStr">
        <is>
          <t xml:space="preserve">              Brigada de Aviación Ejército</t>
        </is>
      </c>
      <c r="C3" s="22" t="n"/>
      <c r="D3" s="22" t="n"/>
      <c r="E3" s="22" t="n"/>
      <c r="F3" s="34" t="inlineStr">
        <is>
          <t>ANEXO N° 1.</t>
        </is>
      </c>
      <c r="I3" s="22" t="n"/>
      <c r="J3" s="22" t="n"/>
    </row>
    <row r="4" ht="12" customHeight="1" s="4"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18.75" customHeight="1" s="4">
      <c r="B5" s="35" t="inlineStr">
        <is>
          <t>LISTADO CATEGORIZADO DE VESTUARIO Y EQUIPO</t>
        </is>
      </c>
      <c r="K5" s="22" t="n"/>
    </row>
    <row r="6" ht="3.75" customHeight="1" s="4"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 ht="18.75" customHeight="1" s="4">
      <c r="B7" s="35" t="inlineStr">
        <is>
          <t>REPORTE SIGLE DE FECHA 11MAR2026.</t>
        </is>
      </c>
      <c r="K7" s="22" t="n"/>
    </row>
    <row r="8" ht="18.75" customHeight="1" s="4"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22" t="n"/>
    </row>
    <row r="9" ht="12.75" customHeight="1" s="4">
      <c r="B9" s="22" t="n"/>
      <c r="C9" s="22" t="n"/>
      <c r="D9" s="35" t="n"/>
      <c r="E9" s="35" t="n"/>
      <c r="F9" s="41" t="inlineStr">
        <is>
          <t>ALM. GRL</t>
        </is>
      </c>
      <c r="G9" s="60" t="n"/>
      <c r="H9" s="35" t="n"/>
      <c r="I9" s="35" t="n"/>
      <c r="J9" s="22" t="n"/>
    </row>
    <row r="10" ht="18.75" customHeight="1" s="4">
      <c r="B10" s="14" t="inlineStr">
        <is>
          <t xml:space="preserve">CÓDIGO </t>
        </is>
      </c>
      <c r="C10" s="61" t="inlineStr">
        <is>
          <t>ESPECIES</t>
        </is>
      </c>
      <c r="D10" s="62" t="n"/>
      <c r="E10" s="63" t="n"/>
      <c r="F10" s="64" t="inlineStr">
        <is>
          <t>CAT. I</t>
        </is>
      </c>
      <c r="G10" s="65" t="inlineStr">
        <is>
          <t>CAT II</t>
        </is>
      </c>
      <c r="H10" s="65" t="inlineStr">
        <is>
          <t>PER. PLANT.</t>
        </is>
      </c>
      <c r="I10" s="65" t="inlineStr">
        <is>
          <t>CAT. III</t>
        </is>
      </c>
      <c r="J10" s="15" t="inlineStr">
        <is>
          <t>CARGO</t>
        </is>
      </c>
    </row>
    <row r="11" ht="18.75" customHeight="1" s="4">
      <c r="B11" s="16" t="inlineStr">
        <is>
          <t>SIGLE</t>
        </is>
      </c>
      <c r="C11" s="66" t="n"/>
      <c r="D11" s="67" t="n"/>
      <c r="E11" s="68" t="n"/>
      <c r="F11" s="66" t="n"/>
      <c r="G11" s="69" t="n"/>
      <c r="H11" s="69" t="n"/>
      <c r="I11" s="69" t="n"/>
      <c r="J11" s="17" t="inlineStr">
        <is>
          <t xml:space="preserve"> TOTAL</t>
        </is>
      </c>
    </row>
    <row r="12" ht="18.75" customHeight="1" s="4">
      <c r="B12" s="18" t="n">
        <v>21002002000468</v>
      </c>
      <c r="C12" s="70" t="inlineStr">
        <is>
          <t>ESCUDO POLIURETANO TRANSPARENTE ANTI.</t>
        </is>
      </c>
      <c r="D12" s="71" t="n"/>
      <c r="E12" s="60" t="n"/>
      <c r="F12" s="42" t="n">
        <v>0</v>
      </c>
      <c r="G12" s="43" t="n">
        <v>10</v>
      </c>
      <c r="H12" s="43" t="n">
        <v>15</v>
      </c>
      <c r="I12" s="43" t="n">
        <v>0</v>
      </c>
      <c r="J12" s="19" t="n">
        <v>25</v>
      </c>
    </row>
    <row r="13" ht="18.75" customHeight="1" s="4">
      <c r="B13" s="18" t="n">
        <v>25001001000001</v>
      </c>
      <c r="C13" s="70" t="inlineStr">
        <is>
          <t>BOTAS GOMA AGUA NEGRA</t>
        </is>
      </c>
      <c r="D13" s="71" t="n"/>
      <c r="E13" s="60" t="n"/>
      <c r="F13" s="42" t="n">
        <v>0</v>
      </c>
      <c r="G13" s="43" t="n">
        <v>80</v>
      </c>
      <c r="H13" s="43" t="n">
        <v>0</v>
      </c>
      <c r="I13" s="43" t="n">
        <v>0</v>
      </c>
      <c r="J13" s="19">
        <f>SUM(F13:I13)</f>
        <v/>
      </c>
    </row>
    <row r="14" ht="18.75" customHeight="1" s="4">
      <c r="B14" s="18" t="n">
        <v>25001001000017</v>
      </c>
      <c r="C14" s="70" t="inlineStr">
        <is>
          <t>BOTAS DE COMBATE COYOTE</t>
        </is>
      </c>
      <c r="D14" s="71" t="n"/>
      <c r="E14" s="60" t="n"/>
      <c r="F14" s="19" t="n">
        <v>0</v>
      </c>
      <c r="G14" s="19" t="n">
        <v>0</v>
      </c>
      <c r="H14" s="19" t="n">
        <v>266</v>
      </c>
      <c r="I14" s="19" t="n">
        <v>0</v>
      </c>
      <c r="J14" s="19">
        <f>SUM(F14:I14)</f>
        <v/>
      </c>
      <c r="K14" s="9" t="n"/>
      <c r="L14" s="11" t="n"/>
    </row>
    <row r="15" ht="18.75" customHeight="1" s="4">
      <c r="B15" s="18" t="n">
        <v>25001001000018</v>
      </c>
      <c r="C15" s="72" t="inlineStr">
        <is>
          <t>BOTA COMBATE CENTRO SUR COYOTE</t>
        </is>
      </c>
      <c r="D15" s="71" t="n"/>
      <c r="E15" s="60" t="n"/>
      <c r="F15" s="19" t="n">
        <v>0</v>
      </c>
      <c r="G15" s="19" t="n">
        <v>2</v>
      </c>
      <c r="H15" s="19" t="n">
        <v>836</v>
      </c>
      <c r="I15" s="19" t="n">
        <v>154</v>
      </c>
      <c r="J15" s="19">
        <f>SUM(F15:I15)</f>
        <v/>
      </c>
      <c r="K15" s="8" t="n"/>
      <c r="L15" s="11" t="n"/>
    </row>
    <row r="16" ht="18.75" customHeight="1" s="4">
      <c r="B16" s="18" t="n">
        <v>25001001000019</v>
      </c>
      <c r="C16" s="72" t="inlineStr">
        <is>
          <t>BOTA DE COMBATE AUSTRAL COYOTE</t>
        </is>
      </c>
      <c r="D16" s="71" t="n"/>
      <c r="E16" s="60" t="n"/>
      <c r="F16" s="19" t="n">
        <v>0</v>
      </c>
      <c r="G16" s="19" t="n">
        <v>0</v>
      </c>
      <c r="H16" s="19" t="n">
        <v>7</v>
      </c>
      <c r="I16" s="19" t="n">
        <v>1</v>
      </c>
      <c r="J16" s="19">
        <f>SUM(F16:I16)</f>
        <v/>
      </c>
      <c r="L16" s="11" t="n"/>
    </row>
    <row r="17" ht="18.75" customHeight="1" s="4">
      <c r="B17" s="18" t="n">
        <v>25001001000025</v>
      </c>
      <c r="C17" s="72" t="inlineStr">
        <is>
          <t xml:space="preserve">BOTA ANTIFUEGO COYOTE </t>
        </is>
      </c>
      <c r="D17" s="71" t="n"/>
      <c r="E17" s="60" t="n"/>
      <c r="F17" s="19" t="n">
        <v>0</v>
      </c>
      <c r="G17" s="19" t="n">
        <v>12</v>
      </c>
      <c r="H17" s="19" t="n">
        <v>100</v>
      </c>
      <c r="I17" s="19" t="n">
        <v>3</v>
      </c>
      <c r="J17" s="19">
        <f>SUM(F17:I17)</f>
        <v/>
      </c>
      <c r="L17" s="11" t="n"/>
    </row>
    <row r="18" ht="18.75" customHeight="1" s="4">
      <c r="B18" s="18" t="n">
        <v>25001023000001</v>
      </c>
      <c r="C18" s="72" t="inlineStr">
        <is>
          <t>BOTÍN DE SEGURIDAD</t>
        </is>
      </c>
      <c r="D18" s="71" t="n"/>
      <c r="E18" s="60" t="n"/>
      <c r="F18" s="19" t="n">
        <v>99</v>
      </c>
      <c r="G18" s="19" t="n">
        <v>61</v>
      </c>
      <c r="H18" s="19" t="n">
        <v>91</v>
      </c>
      <c r="I18" s="19" t="n">
        <v>0</v>
      </c>
      <c r="J18" s="19">
        <f>SUM(F18:I18)</f>
        <v/>
      </c>
      <c r="L18" s="11" t="n"/>
    </row>
    <row r="19" ht="18.75" customHeight="1" s="4">
      <c r="A19" t="n">
        <v>25001006000004</v>
      </c>
      <c r="B19" s="18" t="n">
        <v>25001006000004</v>
      </c>
      <c r="C19" s="73" t="inlineStr">
        <is>
          <t>GUANTE ANTIFLAMA VERDE</t>
        </is>
      </c>
      <c r="D19" s="71" t="n"/>
      <c r="E19" s="60" t="n"/>
      <c r="F19" s="19" t="n">
        <v>53</v>
      </c>
      <c r="G19" s="19" t="n">
        <v>0</v>
      </c>
      <c r="H19" s="19" t="n">
        <v>336</v>
      </c>
      <c r="I19" s="19" t="n">
        <v>0</v>
      </c>
      <c r="J19" s="19">
        <f>SUM(F19:I19)</f>
        <v/>
      </c>
      <c r="L19" s="11" t="n"/>
    </row>
    <row r="20" ht="18.75" customHeight="1" s="4">
      <c r="A20" t="n">
        <v>25001006000043</v>
      </c>
      <c r="B20" s="18" t="n">
        <v>25001006000043</v>
      </c>
      <c r="C20" s="73" t="inlineStr">
        <is>
          <t>GUANTE VUELO NOMEX VERDE OLIVA</t>
        </is>
      </c>
      <c r="D20" s="71" t="n"/>
      <c r="E20" s="60" t="n"/>
      <c r="F20" s="19" t="n">
        <v>0</v>
      </c>
      <c r="G20" s="19" t="n">
        <v>0</v>
      </c>
      <c r="H20" s="19" t="n">
        <v>45</v>
      </c>
      <c r="I20" s="19" t="n">
        <v>0</v>
      </c>
      <c r="J20" s="19">
        <f>SUM(F20:I20)</f>
        <v/>
      </c>
      <c r="L20" s="11" t="n"/>
    </row>
    <row r="21" ht="18.75" customHeight="1" s="4">
      <c r="B21" s="18" t="n">
        <v>25001006000054</v>
      </c>
      <c r="C21" s="72" t="inlineStr">
        <is>
          <t>GUANTE DE COMBATE COYOTE</t>
        </is>
      </c>
      <c r="D21" s="71" t="n"/>
      <c r="E21" s="60" t="n"/>
      <c r="F21" s="19" t="n">
        <v>608</v>
      </c>
      <c r="G21" s="19" t="n">
        <v>0</v>
      </c>
      <c r="H21" s="19" t="n">
        <v>0</v>
      </c>
      <c r="I21" s="19" t="n">
        <v>0</v>
      </c>
      <c r="J21" s="19">
        <f>SUM(F21:I21)</f>
        <v/>
      </c>
    </row>
    <row r="22" ht="18.75" customHeight="1" s="4">
      <c r="B22" s="18" t="n">
        <v>25001008000001</v>
      </c>
      <c r="C22" s="72" t="inlineStr">
        <is>
          <t>PONCHO IMPERMEABLE ZONA SUR</t>
        </is>
      </c>
      <c r="D22" s="71" t="n"/>
      <c r="E22" s="60" t="n"/>
      <c r="F22" s="19" t="n">
        <v>0</v>
      </c>
      <c r="G22" s="19" t="n">
        <v>31</v>
      </c>
      <c r="H22" s="19" t="n">
        <v>57</v>
      </c>
      <c r="I22" s="19" t="n">
        <v>23</v>
      </c>
      <c r="J22" s="19">
        <f>SUM(F22:I22)</f>
        <v/>
      </c>
    </row>
    <row r="23" ht="18.75" customHeight="1" s="4">
      <c r="B23" s="18" t="n">
        <v>25001010000002</v>
      </c>
      <c r="C23" s="50" t="inlineStr">
        <is>
          <t>CHAQUETA DE POLAR OCRE</t>
        </is>
      </c>
      <c r="D23" s="51" t="n"/>
      <c r="E23" s="52" t="n"/>
      <c r="F23" s="19" t="n">
        <v>0</v>
      </c>
      <c r="G23" s="19" t="n">
        <v>0</v>
      </c>
      <c r="H23" s="19" t="n">
        <v>60</v>
      </c>
      <c r="I23" s="19" t="n">
        <v>0</v>
      </c>
      <c r="J23" s="19">
        <f>SUM(F23:I23)</f>
        <v/>
      </c>
    </row>
    <row r="24" ht="18.75" customHeight="1" s="4">
      <c r="B24" s="18" t="n">
        <v>25001009000001</v>
      </c>
      <c r="C24" s="72" t="inlineStr">
        <is>
          <t>OVEROL DE MANTENIMIENTO VERDE</t>
        </is>
      </c>
      <c r="D24" s="71" t="n"/>
      <c r="E24" s="60" t="n"/>
      <c r="F24" s="19" t="n">
        <v>0</v>
      </c>
      <c r="G24" s="19" t="n">
        <v>0</v>
      </c>
      <c r="H24" s="19" t="n">
        <v>19</v>
      </c>
      <c r="I24" s="19" t="n">
        <v>0</v>
      </c>
      <c r="J24" s="19">
        <f>SUM(F24:I24)</f>
        <v/>
      </c>
    </row>
    <row r="25" ht="18.75" customHeight="1" s="4">
      <c r="B25" s="18" t="n">
        <v>25001009000004</v>
      </c>
      <c r="C25" s="72" t="inlineStr">
        <is>
          <t>BUZO ANTIFLAMA VERDE</t>
        </is>
      </c>
      <c r="D25" s="71" t="n"/>
      <c r="E25" s="60" t="n"/>
      <c r="F25" s="19" t="n">
        <v>9</v>
      </c>
      <c r="G25" s="19" t="n">
        <v>38</v>
      </c>
      <c r="H25" s="19" t="n">
        <v>395</v>
      </c>
      <c r="I25" s="19" t="n">
        <v>0</v>
      </c>
      <c r="J25" s="19">
        <f>SUM(F25:I25)</f>
        <v/>
      </c>
      <c r="K25" s="9" t="n"/>
      <c r="L25" s="8" t="n"/>
    </row>
    <row r="26" ht="18.75" customHeight="1" s="4">
      <c r="B26" s="18" t="n">
        <v>25001010000004</v>
      </c>
      <c r="C26" s="72" t="inlineStr">
        <is>
          <t>CHAQUETA DE CUERO NEGRA</t>
        </is>
      </c>
      <c r="D26" s="71" t="n"/>
      <c r="E26" s="60" t="n"/>
      <c r="F26" s="19" t="n">
        <v>5</v>
      </c>
      <c r="G26" s="19" t="n">
        <v>19</v>
      </c>
      <c r="H26" s="19" t="n">
        <v>87</v>
      </c>
      <c r="I26" s="19" t="n">
        <v>0</v>
      </c>
      <c r="J26" s="19">
        <f>SUM(F26:I26)</f>
        <v/>
      </c>
    </row>
    <row r="27" ht="18.75" customHeight="1" s="4">
      <c r="B27" s="18" t="n">
        <v>25001010000005</v>
      </c>
      <c r="C27" s="72" t="inlineStr">
        <is>
          <t>CHAQUETA DE TRIPULANTE VERDE</t>
        </is>
      </c>
      <c r="D27" s="71" t="n"/>
      <c r="E27" s="60" t="n"/>
      <c r="F27" s="19" t="n">
        <v>0</v>
      </c>
      <c r="G27" s="19" t="n">
        <v>36</v>
      </c>
      <c r="H27" s="19" t="n">
        <v>82</v>
      </c>
      <c r="I27" s="19" t="n">
        <v>0</v>
      </c>
      <c r="J27" s="19">
        <f>SUM(F27:I27)</f>
        <v/>
      </c>
      <c r="K27" s="9" t="n"/>
      <c r="L27" s="8" t="n"/>
      <c r="M27" s="8" t="n"/>
    </row>
    <row r="28" ht="18.75" customHeight="1" s="4">
      <c r="B28" s="18" t="n">
        <v>25001011000003</v>
      </c>
      <c r="C28" s="72" t="inlineStr">
        <is>
          <t>CHAQUETA DE CBTE PIX Z/S</t>
        </is>
      </c>
      <c r="D28" s="71" t="n"/>
      <c r="E28" s="60" t="n"/>
      <c r="F28" s="19" t="n">
        <v>0</v>
      </c>
      <c r="G28" s="19" t="n">
        <v>2</v>
      </c>
      <c r="H28" s="19" t="n">
        <v>1</v>
      </c>
      <c r="I28" s="19" t="n">
        <v>0</v>
      </c>
      <c r="J28" s="19">
        <f>SUM(F28:I28)</f>
        <v/>
      </c>
      <c r="K28" s="9" t="n"/>
      <c r="L28" s="8" t="n"/>
      <c r="M28" s="8" t="n"/>
    </row>
    <row r="29" ht="18.75" customHeight="1" s="4">
      <c r="B29" s="18" t="n">
        <v>25001011000004</v>
      </c>
      <c r="C29" s="72" t="inlineStr">
        <is>
          <t>CHAQUETA DE CBTE PIX Z/N</t>
        </is>
      </c>
      <c r="D29" s="71" t="n"/>
      <c r="E29" s="60" t="n"/>
      <c r="F29" s="19" t="n">
        <v>482</v>
      </c>
      <c r="G29" s="19" t="n">
        <v>74</v>
      </c>
      <c r="H29" s="19" t="n">
        <v>667</v>
      </c>
      <c r="I29" s="19" t="n">
        <v>513</v>
      </c>
      <c r="J29" s="19">
        <f>SUM(F29:I29)</f>
        <v/>
      </c>
    </row>
    <row r="30" ht="18.75" customHeight="1" s="4">
      <c r="B30" s="18" t="n">
        <v>25001013000011</v>
      </c>
      <c r="C30" s="72" t="inlineStr">
        <is>
          <t>GORRO DE COMBATE PIELADO ZONA SUR</t>
        </is>
      </c>
      <c r="D30" s="71" t="n"/>
      <c r="E30" s="60" t="n"/>
      <c r="F30" s="19" t="n">
        <v>0</v>
      </c>
      <c r="G30" s="19" t="n">
        <v>27</v>
      </c>
      <c r="H30" s="19" t="n">
        <v>101</v>
      </c>
      <c r="I30" s="19" t="n">
        <v>0</v>
      </c>
      <c r="J30" s="19">
        <f>SUM(F30:I30)</f>
        <v/>
      </c>
    </row>
    <row r="31" ht="18.75" customHeight="1" s="4">
      <c r="B31" s="18" t="n">
        <v>25001013000012</v>
      </c>
      <c r="C31" s="72" t="inlineStr">
        <is>
          <t>GORRO DE COMBATE PIELADO ZONA NORTE</t>
        </is>
      </c>
      <c r="D31" s="71" t="n"/>
      <c r="E31" s="60" t="n"/>
      <c r="F31" s="19" t="n">
        <v>0</v>
      </c>
      <c r="G31" s="19" t="n">
        <v>101</v>
      </c>
      <c r="H31" s="19" t="n">
        <v>1092</v>
      </c>
      <c r="I31" s="19" t="n">
        <v>0</v>
      </c>
      <c r="J31" s="19">
        <f>SUM(F31:I31)</f>
        <v/>
      </c>
    </row>
    <row r="32" ht="18.75" customHeight="1" s="4">
      <c r="B32" s="18" t="n">
        <v>25001013000014</v>
      </c>
      <c r="C32" s="50" t="inlineStr">
        <is>
          <t>GORRO ALA PIXELADO ZONA NORTE</t>
        </is>
      </c>
      <c r="D32" s="51" t="n"/>
      <c r="E32" s="52" t="n"/>
      <c r="F32" s="19" t="n">
        <v>0</v>
      </c>
      <c r="G32" s="19" t="n">
        <v>0</v>
      </c>
      <c r="H32" s="19" t="n">
        <v>1</v>
      </c>
      <c r="I32" s="19" t="n">
        <v>0</v>
      </c>
      <c r="J32" s="19">
        <f>SUM(F32:I32)</f>
        <v/>
      </c>
    </row>
    <row r="33" ht="18.75" customHeight="1" s="4">
      <c r="B33" s="18" t="n">
        <v>25001013000037</v>
      </c>
      <c r="C33" s="72" t="inlineStr">
        <is>
          <t>GORRO DE COMBATE MULTICAM</t>
        </is>
      </c>
      <c r="D33" s="71" t="n"/>
      <c r="E33" s="60" t="n"/>
      <c r="F33" s="19" t="n">
        <v>165</v>
      </c>
      <c r="G33" s="19" t="n">
        <v>90</v>
      </c>
      <c r="H33" s="19" t="n">
        <v>1201</v>
      </c>
      <c r="I33" s="19" t="n">
        <v>333</v>
      </c>
      <c r="J33" s="19">
        <f>SUM(F33:I33)</f>
        <v/>
      </c>
    </row>
    <row r="34" ht="18.75" customHeight="1" s="4">
      <c r="B34" s="18" t="n">
        <v>25001014000006</v>
      </c>
      <c r="C34" s="72" t="inlineStr">
        <is>
          <t>PANTALON DE CBTE PIX ZONA SUR</t>
        </is>
      </c>
      <c r="D34" s="71" t="n"/>
      <c r="E34" s="60" t="n"/>
      <c r="F34" s="19" t="n">
        <v>0</v>
      </c>
      <c r="G34" s="19" t="n">
        <v>112</v>
      </c>
      <c r="H34" s="19" t="n">
        <v>14</v>
      </c>
      <c r="I34" s="19" t="n">
        <v>0</v>
      </c>
      <c r="J34" s="19">
        <f>SUM(F34:I34)</f>
        <v/>
      </c>
    </row>
    <row r="35" ht="18.75" customHeight="1" s="4">
      <c r="B35" s="18" t="n">
        <v>25001014000007</v>
      </c>
      <c r="C35" s="72" t="inlineStr">
        <is>
          <t>PANTALON DE CBTE PIX ZONANORTE</t>
        </is>
      </c>
      <c r="D35" s="71" t="n"/>
      <c r="E35" s="60" t="n"/>
      <c r="F35" s="19" t="n">
        <v>0</v>
      </c>
      <c r="G35" s="19" t="n">
        <v>76</v>
      </c>
      <c r="H35" s="19" t="n">
        <v>624</v>
      </c>
      <c r="I35" s="19" t="n">
        <v>356</v>
      </c>
      <c r="J35" s="19">
        <f>SUM(F35:I35)</f>
        <v/>
      </c>
    </row>
    <row r="36" ht="18.75" customHeight="1" s="4">
      <c r="B36" s="18" t="n">
        <v>25001014000029</v>
      </c>
      <c r="C36" s="72" t="inlineStr">
        <is>
          <t>PANTALON DE CBTE MULTICAM</t>
        </is>
      </c>
      <c r="D36" s="71" t="n"/>
      <c r="E36" s="60" t="n"/>
      <c r="F36" s="19" t="n">
        <v>121</v>
      </c>
      <c r="G36" s="19" t="n">
        <v>168</v>
      </c>
      <c r="H36" s="19" t="n">
        <v>799</v>
      </c>
      <c r="I36" s="19" t="n">
        <v>459</v>
      </c>
      <c r="J36" s="19">
        <f>SUM(F36:I36)</f>
        <v/>
      </c>
    </row>
    <row r="37" ht="18.75" customHeight="1" s="4">
      <c r="B37" s="18" t="n">
        <v>25001015000005</v>
      </c>
      <c r="C37" s="72" t="inlineStr">
        <is>
          <t>PARKA DE VUELO VERDE</t>
        </is>
      </c>
      <c r="D37" s="71" t="n"/>
      <c r="E37" s="60" t="n"/>
      <c r="F37" s="19" t="n">
        <v>22</v>
      </c>
      <c r="G37" s="19" t="n">
        <v>0</v>
      </c>
      <c r="H37" s="19" t="n">
        <v>58</v>
      </c>
      <c r="I37" s="19" t="n">
        <v>0</v>
      </c>
      <c r="J37" s="19">
        <f>SUM(F37:I37)</f>
        <v/>
      </c>
    </row>
    <row r="38" ht="18.75" customHeight="1" s="4">
      <c r="B38" s="18" t="n">
        <v>25001015000011</v>
      </c>
      <c r="C38" s="72" t="inlineStr">
        <is>
          <t>PARKA DE CBTE MULTICAM</t>
        </is>
      </c>
      <c r="D38" s="71" t="n"/>
      <c r="E38" s="60" t="n"/>
      <c r="F38" s="19" t="n">
        <v>120</v>
      </c>
      <c r="G38" s="19" t="n">
        <v>40</v>
      </c>
      <c r="H38" s="19" t="n">
        <v>580</v>
      </c>
      <c r="I38" s="19" t="n">
        <v>0</v>
      </c>
      <c r="J38" s="19">
        <f>SUM(F38:I38)</f>
        <v/>
      </c>
    </row>
    <row r="39" ht="18.75" customHeight="1" s="4">
      <c r="B39" s="18" t="n">
        <v>25001016000026</v>
      </c>
      <c r="C39" s="72" t="inlineStr">
        <is>
          <t>TENIDA IMPERMEABLE-RESPIRABLE ZONA SUR</t>
        </is>
      </c>
      <c r="D39" s="71" t="n"/>
      <c r="E39" s="60" t="n"/>
      <c r="F39" s="19" t="n">
        <v>0</v>
      </c>
      <c r="G39" s="19" t="n">
        <v>10</v>
      </c>
      <c r="H39" s="19" t="n">
        <v>25</v>
      </c>
      <c r="I39" s="19" t="n">
        <v>0</v>
      </c>
      <c r="J39" s="19">
        <f>SUM(F39:I39)</f>
        <v/>
      </c>
    </row>
    <row r="40" ht="18.75" customHeight="1" s="4">
      <c r="B40" s="18" t="n">
        <v>25001016000030</v>
      </c>
      <c r="C40" s="72" t="inlineStr">
        <is>
          <t>TENIDA IMPERMEABLE-RESPIRABLE ZONA NORTE</t>
        </is>
      </c>
      <c r="D40" s="71" t="n"/>
      <c r="E40" s="60" t="n"/>
      <c r="F40" s="19" t="n">
        <v>0</v>
      </c>
      <c r="G40" s="19" t="n">
        <v>14</v>
      </c>
      <c r="H40" s="19" t="n">
        <v>86</v>
      </c>
      <c r="I40" s="19" t="n">
        <v>0</v>
      </c>
      <c r="J40" s="19">
        <f>SUM(F40:I40)</f>
        <v/>
      </c>
    </row>
    <row r="41" ht="18.75" customHeight="1" s="4">
      <c r="B41" s="18" t="n">
        <v>25001017000003</v>
      </c>
      <c r="C41" s="72" t="inlineStr">
        <is>
          <t>BLUSA DE MIMETISMO ZONA SUR</t>
        </is>
      </c>
      <c r="D41" s="71" t="n"/>
      <c r="E41" s="60" t="n"/>
      <c r="F41" s="19" t="n">
        <v>0</v>
      </c>
      <c r="G41" s="19" t="n">
        <v>125</v>
      </c>
      <c r="H41" s="19" t="n">
        <v>1</v>
      </c>
      <c r="I41" s="19" t="n">
        <v>0</v>
      </c>
      <c r="J41" s="19">
        <f>SUM(F41:I41)</f>
        <v/>
      </c>
    </row>
    <row r="42" ht="18.75" customHeight="1" s="4">
      <c r="B42" s="18" t="n">
        <v>25001017000002</v>
      </c>
      <c r="C42" s="72" t="inlineStr">
        <is>
          <t>BLUSA DE MIMETISMO ZONA NORTE</t>
        </is>
      </c>
      <c r="D42" s="71" t="n"/>
      <c r="E42" s="60" t="n"/>
      <c r="F42" s="19" t="n">
        <v>0</v>
      </c>
      <c r="G42" s="19" t="n">
        <v>60</v>
      </c>
      <c r="H42" s="19" t="n">
        <v>627</v>
      </c>
      <c r="I42" s="19" t="n">
        <v>346</v>
      </c>
      <c r="J42" s="19">
        <f>SUM(F42:I42)</f>
        <v/>
      </c>
    </row>
    <row r="43" ht="18.75" customHeight="1" s="4">
      <c r="B43" s="18" t="n">
        <v>25001017000014</v>
      </c>
      <c r="C43" s="72" t="inlineStr">
        <is>
          <t>BLUSA DE COMBATE MULTICAM</t>
        </is>
      </c>
      <c r="D43" s="71" t="n"/>
      <c r="E43" s="60" t="n"/>
      <c r="F43" s="19" t="n">
        <v>122</v>
      </c>
      <c r="G43" s="19" t="n">
        <v>177</v>
      </c>
      <c r="H43" s="19" t="n">
        <v>748</v>
      </c>
      <c r="I43" s="19" t="n">
        <v>526</v>
      </c>
      <c r="J43" s="19">
        <f>SUM(F43:I43)</f>
        <v/>
      </c>
    </row>
    <row r="44" ht="18.75" customHeight="1" s="4">
      <c r="B44" s="18" t="n">
        <v>25001018000001</v>
      </c>
      <c r="C44" s="50" t="inlineStr">
        <is>
          <t>COLCHON ESPUMA</t>
        </is>
      </c>
      <c r="D44" s="51" t="n"/>
      <c r="E44" s="52" t="n"/>
      <c r="F44" s="19" t="n">
        <v>0</v>
      </c>
      <c r="G44" s="19" t="n">
        <v>0</v>
      </c>
      <c r="H44" s="19" t="n">
        <v>138</v>
      </c>
      <c r="I44" s="19" t="n">
        <v>65</v>
      </c>
      <c r="J44" s="19">
        <f>SUM(F44:I44)</f>
        <v/>
      </c>
    </row>
    <row r="45" ht="18.75" customHeight="1" s="4">
      <c r="B45" s="18" t="n">
        <v>25001018000002</v>
      </c>
      <c r="C45" s="50" t="inlineStr">
        <is>
          <t>CUBRE CAMA LONA VERDE</t>
        </is>
      </c>
      <c r="D45" s="51" t="n"/>
      <c r="E45" s="52" t="n"/>
      <c r="F45" s="19" t="n">
        <v>0</v>
      </c>
      <c r="G45" s="19" t="n">
        <v>0</v>
      </c>
      <c r="H45" s="19" t="n">
        <v>44</v>
      </c>
      <c r="I45" s="19" t="n">
        <v>34</v>
      </c>
      <c r="J45" s="19">
        <f>SUM(F45:I45)</f>
        <v/>
      </c>
    </row>
    <row r="46" ht="18.75" customHeight="1" s="4">
      <c r="B46" s="18" t="n">
        <v>25001018000003</v>
      </c>
      <c r="C46" s="50" t="inlineStr">
        <is>
          <t>FRAZADA LANA</t>
        </is>
      </c>
      <c r="D46" s="51" t="n"/>
      <c r="E46" s="52" t="n"/>
      <c r="F46" s="19" t="n">
        <v>0</v>
      </c>
      <c r="G46" s="19" t="n">
        <v>0</v>
      </c>
      <c r="H46" s="19" t="n">
        <v>257</v>
      </c>
      <c r="I46" s="19" t="n">
        <v>0</v>
      </c>
      <c r="J46" s="19">
        <f>SUM(F46:I46)</f>
        <v/>
      </c>
    </row>
    <row r="47" ht="18.75" customHeight="1" s="4">
      <c r="B47" s="18" t="n">
        <v>25001018000004</v>
      </c>
      <c r="C47" s="50" t="inlineStr">
        <is>
          <t>ALMOHADA</t>
        </is>
      </c>
      <c r="D47" s="51" t="n"/>
      <c r="E47" s="52" t="n"/>
      <c r="F47" s="19" t="n">
        <v>0</v>
      </c>
      <c r="G47" s="19" t="n">
        <v>0</v>
      </c>
      <c r="H47" s="19" t="n">
        <v>47</v>
      </c>
      <c r="I47" s="19" t="n">
        <v>94</v>
      </c>
      <c r="J47" s="19">
        <f>SUM(F47:I47)</f>
        <v/>
      </c>
    </row>
    <row r="48" ht="18.75" customHeight="1" s="4">
      <c r="B48" s="18" t="n">
        <v>25001018000010</v>
      </c>
      <c r="C48" s="50" t="inlineStr">
        <is>
          <t>CUBRECAMA</t>
        </is>
      </c>
      <c r="D48" s="51" t="n"/>
      <c r="E48" s="52" t="n"/>
      <c r="F48" s="19" t="n">
        <v>0</v>
      </c>
      <c r="G48" s="19" t="n">
        <v>0</v>
      </c>
      <c r="H48" s="19" t="n">
        <v>96</v>
      </c>
      <c r="I48" s="19" t="n">
        <v>22</v>
      </c>
      <c r="J48" s="19">
        <f>SUM(F48:I48)</f>
        <v/>
      </c>
    </row>
    <row r="49" ht="18.75" customHeight="1" s="4">
      <c r="B49" s="18" t="n">
        <v>25001018000025</v>
      </c>
      <c r="C49" s="50" t="inlineStr">
        <is>
          <t>FRAZADA POLAR COYOTE</t>
        </is>
      </c>
      <c r="D49" s="51" t="n"/>
      <c r="E49" s="52" t="n"/>
      <c r="F49" s="19" t="n">
        <v>0</v>
      </c>
      <c r="G49" s="19" t="n">
        <v>0</v>
      </c>
      <c r="H49" s="19" t="n">
        <v>319</v>
      </c>
      <c r="I49" s="19" t="n">
        <v>0</v>
      </c>
      <c r="J49" s="19">
        <f>SUM(F49:I49)</f>
        <v/>
      </c>
    </row>
    <row r="50" ht="18.75" customHeight="1" s="4">
      <c r="B50" s="18" t="n">
        <v>25001019000009</v>
      </c>
      <c r="C50" s="50" t="inlineStr">
        <is>
          <t>BUZO DEPORTIVO NEGRO</t>
        </is>
      </c>
      <c r="D50" s="51" t="n"/>
      <c r="E50" s="52" t="n"/>
      <c r="F50" s="19" t="n">
        <v>0</v>
      </c>
      <c r="G50" s="19" t="n">
        <v>0</v>
      </c>
      <c r="H50" s="19" t="n">
        <v>20</v>
      </c>
      <c r="I50" s="19" t="n">
        <v>0</v>
      </c>
      <c r="J50" s="19">
        <f>SUM(F50:I50)</f>
        <v/>
      </c>
    </row>
    <row r="51" ht="18.75" customHeight="1" s="4">
      <c r="B51" s="18" t="n">
        <v>25001021000002</v>
      </c>
      <c r="C51" s="50" t="inlineStr">
        <is>
          <t>CAMISETA MEDIA MANGA TABACO</t>
        </is>
      </c>
      <c r="D51" s="51" t="n"/>
      <c r="E51" s="52" t="n"/>
      <c r="F51" s="19" t="n">
        <v>0</v>
      </c>
      <c r="G51" s="19" t="n">
        <v>0</v>
      </c>
      <c r="H51" s="19" t="n">
        <v>126</v>
      </c>
      <c r="I51" s="19" t="n">
        <v>0</v>
      </c>
      <c r="J51" s="19">
        <f>SUM(F51:I51)</f>
        <v/>
      </c>
    </row>
    <row r="52" ht="18.75" customHeight="1" s="4">
      <c r="B52" s="18" t="n">
        <v>25001023000005</v>
      </c>
      <c r="C52" s="72" t="inlineStr">
        <is>
          <t>ZAPATO DE SEGURIDAD</t>
        </is>
      </c>
      <c r="D52" s="71" t="n"/>
      <c r="E52" s="60" t="n"/>
      <c r="F52" s="19" t="n">
        <v>99</v>
      </c>
      <c r="G52" s="19" t="n">
        <v>10</v>
      </c>
      <c r="H52" s="19" t="n">
        <v>18</v>
      </c>
      <c r="I52" s="19" t="n">
        <v>0</v>
      </c>
      <c r="J52" s="19">
        <f>SUM(F52:I52)</f>
        <v/>
      </c>
    </row>
    <row r="53" ht="18.75" customHeight="1" s="4">
      <c r="B53" s="18" t="n">
        <v>25001023000121</v>
      </c>
      <c r="C53" s="50" t="inlineStr">
        <is>
          <t>CINTURON PARA PANTALON DE COMBATE</t>
        </is>
      </c>
      <c r="D53" s="51" t="n"/>
      <c r="E53" s="52" t="n"/>
      <c r="F53" s="19" t="n">
        <v>0</v>
      </c>
      <c r="G53" s="19" t="n">
        <v>0</v>
      </c>
      <c r="H53" s="19" t="n">
        <v>10</v>
      </c>
      <c r="I53" s="19" t="n">
        <v>28</v>
      </c>
      <c r="J53" s="19">
        <f>SUM(F53:I53)</f>
        <v/>
      </c>
    </row>
    <row r="54" ht="18.75" customHeight="1" s="4">
      <c r="B54" s="18" t="n">
        <v>25001025000004</v>
      </c>
      <c r="C54" s="50" t="inlineStr">
        <is>
          <t>CALZONCILLO BLANCO</t>
        </is>
      </c>
      <c r="D54" s="51" t="n"/>
      <c r="E54" s="52" t="n"/>
      <c r="F54" s="19" t="n">
        <v>0</v>
      </c>
      <c r="G54" s="19" t="n">
        <v>0</v>
      </c>
      <c r="H54" s="19" t="n">
        <v>366</v>
      </c>
      <c r="I54" s="19" t="n">
        <v>0</v>
      </c>
      <c r="J54" s="19">
        <f>SUM(F54:I54)</f>
        <v/>
      </c>
    </row>
    <row r="55" ht="18.75" customHeight="1" s="4">
      <c r="B55" s="18" t="n">
        <v>25001023000125</v>
      </c>
      <c r="C55" s="72" t="inlineStr">
        <is>
          <t>SEGUNDA CAPA MICROPOLAR COYOTE</t>
        </is>
      </c>
      <c r="D55" s="71" t="n"/>
      <c r="E55" s="60" t="n"/>
      <c r="F55" s="19" t="n">
        <v>615</v>
      </c>
      <c r="G55" s="19" t="n">
        <v>0</v>
      </c>
      <c r="H55" s="19" t="n">
        <v>0</v>
      </c>
      <c r="I55" s="19" t="n">
        <v>0</v>
      </c>
      <c r="J55" s="19">
        <f>SUM(F55:I55)</f>
        <v/>
      </c>
    </row>
    <row r="56" ht="18.75" customHeight="1" s="4">
      <c r="B56" s="18" t="n">
        <v>25002027000044</v>
      </c>
      <c r="C56" s="72" t="inlineStr">
        <is>
          <t>CARPA BIPERSONAL COLOR COYOTE</t>
        </is>
      </c>
      <c r="D56" s="71" t="n"/>
      <c r="E56" s="60" t="n"/>
      <c r="F56" s="19" t="n">
        <v>128</v>
      </c>
      <c r="G56" s="19" t="n">
        <v>0</v>
      </c>
      <c r="H56" s="19" t="n">
        <v>230</v>
      </c>
      <c r="I56" s="19" t="n">
        <v>16</v>
      </c>
      <c r="J56" s="19">
        <f>SUM(F56:I56)</f>
        <v/>
      </c>
    </row>
    <row r="57" ht="18.75" customHeight="1" s="4">
      <c r="B57" s="18" t="n">
        <v>25002029000001</v>
      </c>
      <c r="C57" s="50" t="inlineStr">
        <is>
          <t>SACO DE DORMIR CLIMA TEMPLADO COYOTE</t>
        </is>
      </c>
      <c r="D57" s="51" t="n"/>
      <c r="E57" s="52" t="n"/>
      <c r="F57" s="19" t="n">
        <v>0</v>
      </c>
      <c r="G57" s="19" t="n">
        <v>0</v>
      </c>
      <c r="H57" s="19" t="n">
        <v>322</v>
      </c>
      <c r="I57" s="19" t="n">
        <v>146</v>
      </c>
      <c r="J57" s="19">
        <f>SUM(F57:I57)</f>
        <v/>
      </c>
    </row>
    <row r="58" ht="18.75" customHeight="1" s="4">
      <c r="B58" s="18" t="n">
        <v>25002029000004</v>
      </c>
      <c r="C58" s="50" t="inlineStr">
        <is>
          <t>SACO DE DORMIR CLIMA FRIO EXTREMO</t>
        </is>
      </c>
      <c r="D58" s="51" t="n"/>
      <c r="E58" s="52" t="n"/>
      <c r="F58" s="19" t="n">
        <v>0</v>
      </c>
      <c r="G58" s="19" t="n">
        <v>0</v>
      </c>
      <c r="H58" s="19" t="n">
        <v>120</v>
      </c>
      <c r="I58" s="19" t="n">
        <v>26</v>
      </c>
      <c r="J58" s="19">
        <f>SUM(F58:I58)</f>
        <v/>
      </c>
    </row>
    <row r="59" ht="18.75" customHeight="1" s="4">
      <c r="B59" s="18" t="n">
        <v>25002032000009</v>
      </c>
      <c r="C59" s="72" t="inlineStr">
        <is>
          <t>PLATO DOBLE CAMPAÑA ALUMINIO</t>
        </is>
      </c>
      <c r="D59" s="71" t="n"/>
      <c r="E59" s="60" t="n"/>
      <c r="F59" s="19" t="n">
        <v>0</v>
      </c>
      <c r="G59" s="19" t="n">
        <v>150</v>
      </c>
      <c r="H59" s="19" t="n">
        <v>421</v>
      </c>
      <c r="I59" s="19" t="n">
        <v>6</v>
      </c>
      <c r="J59" s="19">
        <f>SUM(F59:I59)</f>
        <v/>
      </c>
    </row>
    <row r="60" ht="18.75" customHeight="1" s="4">
      <c r="B60" s="18" t="n">
        <v>25002032000019</v>
      </c>
      <c r="C60" s="72" t="inlineStr">
        <is>
          <t>PLATO DOBLE CAMPAÑA ACERO INOXIDABLE</t>
        </is>
      </c>
      <c r="D60" s="71" t="n"/>
      <c r="E60" s="60" t="n"/>
      <c r="F60" s="19" t="n">
        <v>92</v>
      </c>
      <c r="G60" s="19" t="n">
        <v>8</v>
      </c>
      <c r="H60" s="19" t="n">
        <v>0</v>
      </c>
      <c r="I60" s="19" t="n">
        <v>0</v>
      </c>
      <c r="J60" s="19">
        <f>SUM(F60:I60)</f>
        <v/>
      </c>
    </row>
    <row r="61" ht="18.75" customHeight="1" s="4">
      <c r="B61" s="18" t="n">
        <v>25002033000022</v>
      </c>
      <c r="C61" s="72" t="inlineStr">
        <is>
          <t>MOCHILA 90 LTS COYOTE</t>
        </is>
      </c>
      <c r="D61" s="71" t="n"/>
      <c r="E61" s="60" t="n"/>
      <c r="F61" s="19" t="n">
        <v>283</v>
      </c>
      <c r="G61" s="19" t="n">
        <v>17</v>
      </c>
      <c r="H61" s="19" t="n">
        <v>463</v>
      </c>
      <c r="I61" s="19" t="n">
        <v>120</v>
      </c>
      <c r="J61" s="19">
        <f>SUM(F61:I61)</f>
        <v/>
      </c>
    </row>
    <row r="62" ht="18.75" customHeight="1" s="4">
      <c r="B62" s="18" t="n">
        <v>25002036000056</v>
      </c>
      <c r="C62" s="72" t="inlineStr">
        <is>
          <t>BOLSA DE HIDRATACION COYOTE</t>
        </is>
      </c>
      <c r="D62" s="71" t="n"/>
      <c r="E62" s="60" t="n"/>
      <c r="F62" s="19" t="n">
        <v>227</v>
      </c>
      <c r="G62" s="19" t="n">
        <v>32</v>
      </c>
      <c r="H62" s="19" t="n">
        <v>380</v>
      </c>
      <c r="I62" s="19" t="n">
        <v>0</v>
      </c>
      <c r="J62" s="19">
        <f>SUM(F62:I62)</f>
        <v/>
      </c>
    </row>
    <row r="63" ht="18.75" customHeight="1" s="4">
      <c r="B63" s="18" t="n">
        <v>25002037000024</v>
      </c>
      <c r="C63" s="72" t="inlineStr">
        <is>
          <t>CASCO ANTIFRAGMENTARIO MODELO GOLFO</t>
        </is>
      </c>
      <c r="D63" s="71" t="n"/>
      <c r="E63" s="60" t="n"/>
      <c r="F63" s="19" t="n">
        <v>0</v>
      </c>
      <c r="G63" s="19" t="n">
        <v>78</v>
      </c>
      <c r="H63" s="19" t="n">
        <v>158</v>
      </c>
      <c r="I63" s="19" t="n">
        <v>20</v>
      </c>
      <c r="J63" s="19">
        <f>SUM(F63:I63)</f>
        <v/>
      </c>
    </row>
    <row r="64" ht="18.75" customHeight="1" s="4">
      <c r="B64" s="18" t="n">
        <v>25002037000036</v>
      </c>
      <c r="C64" s="72" t="inlineStr">
        <is>
          <t>CASCO ANTIDISTURBIOS COLOR COYOTE</t>
        </is>
      </c>
      <c r="D64" s="71" t="n"/>
      <c r="E64" s="60" t="n"/>
      <c r="F64" s="19" t="n">
        <v>0</v>
      </c>
      <c r="G64" s="19" t="n">
        <v>10</v>
      </c>
      <c r="H64" s="19" t="n">
        <v>15</v>
      </c>
      <c r="I64" s="19" t="n">
        <v>0</v>
      </c>
      <c r="J64" s="19">
        <f>SUM(F64:I64)</f>
        <v/>
      </c>
    </row>
    <row r="65" ht="18.75" customHeight="1" s="4">
      <c r="B65" s="18" t="n">
        <v>25002040000002</v>
      </c>
      <c r="C65" s="72" t="inlineStr">
        <is>
          <t>REPUESTO BOLSA DE HIDRATACION</t>
        </is>
      </c>
      <c r="D65" s="71" t="n"/>
      <c r="E65" s="60" t="n"/>
      <c r="F65" s="19" t="n">
        <v>330</v>
      </c>
      <c r="G65" s="19" t="n">
        <v>37</v>
      </c>
      <c r="H65" s="19" t="n">
        <v>147</v>
      </c>
      <c r="I65" s="19" t="n">
        <v>0</v>
      </c>
      <c r="J65" s="19">
        <f>SUM(F65:I65)</f>
        <v/>
      </c>
    </row>
    <row r="66" ht="18.75" customHeight="1" s="4">
      <c r="B66" s="18" t="n">
        <v>25002042000001</v>
      </c>
      <c r="C66" s="72" t="inlineStr">
        <is>
          <t>COLCHONETA AISLANTE</t>
        </is>
      </c>
      <c r="D66" s="71" t="n"/>
      <c r="E66" s="60" t="n"/>
      <c r="F66" s="19" t="n">
        <v>13</v>
      </c>
      <c r="G66" s="19" t="n">
        <v>5</v>
      </c>
      <c r="H66" s="19" t="n">
        <v>247</v>
      </c>
      <c r="I66" s="19" t="n">
        <v>45</v>
      </c>
      <c r="J66" s="19">
        <f>SUM(F66:I66)</f>
        <v/>
      </c>
    </row>
    <row r="67" ht="18.75" customHeight="1" s="4">
      <c r="B67" s="18" t="n">
        <v>25002043000007</v>
      </c>
      <c r="C67" s="72" t="inlineStr">
        <is>
          <t>ATALAJE DE COMBATE COYOTE</t>
        </is>
      </c>
      <c r="D67" s="71" t="n"/>
      <c r="E67" s="60" t="n"/>
      <c r="F67" s="19" t="n">
        <v>0</v>
      </c>
      <c r="G67" s="19" t="n">
        <v>6</v>
      </c>
      <c r="H67" s="19" t="n">
        <v>392</v>
      </c>
      <c r="I67" s="19" t="n">
        <v>55</v>
      </c>
      <c r="J67" s="19">
        <f>SUM(F67:I67)</f>
        <v/>
      </c>
    </row>
    <row r="68" ht="18.75" customHeight="1" s="4">
      <c r="B68" s="18" t="n">
        <v>25002043000023</v>
      </c>
      <c r="C68" s="72" t="inlineStr">
        <is>
          <t>ARNES TACTICO</t>
        </is>
      </c>
      <c r="D68" s="71" t="n"/>
      <c r="E68" s="60" t="n"/>
      <c r="F68" s="19" t="n">
        <v>0</v>
      </c>
      <c r="G68" s="19" t="n">
        <v>2</v>
      </c>
      <c r="H68" s="19" t="n">
        <v>724</v>
      </c>
      <c r="I68" s="19" t="n">
        <v>0</v>
      </c>
      <c r="J68" s="19">
        <f>SUM(F68:I68)</f>
        <v/>
      </c>
    </row>
    <row r="69" ht="18.75" customHeight="1" s="4">
      <c r="B69" s="18" t="n">
        <v>25002044000060</v>
      </c>
      <c r="C69" s="72" t="inlineStr">
        <is>
          <t>BASTON ANTIDISTURBIOS COYOTE</t>
        </is>
      </c>
      <c r="D69" s="71" t="n"/>
      <c r="E69" s="60" t="n"/>
      <c r="F69" s="19" t="n">
        <v>0</v>
      </c>
      <c r="G69" s="19" t="n">
        <v>10</v>
      </c>
      <c r="H69" s="19" t="n">
        <v>15</v>
      </c>
      <c r="I69" s="19" t="n">
        <v>0</v>
      </c>
      <c r="J69" s="19">
        <f>SUM(F69:I69)</f>
        <v/>
      </c>
    </row>
    <row r="70" ht="18.75" customHeight="1" s="4">
      <c r="B70" s="18" t="n">
        <v>25002045000031</v>
      </c>
      <c r="C70" s="72" t="inlineStr">
        <is>
          <t>FUNDA DE PISTOLA CON SEG. ANTI PERDIDA</t>
        </is>
      </c>
      <c r="D70" s="71" t="n"/>
      <c r="E70" s="60" t="n"/>
      <c r="F70" s="19" t="n">
        <v>0</v>
      </c>
      <c r="G70" s="19" t="n">
        <v>3</v>
      </c>
      <c r="H70" s="19" t="n">
        <v>152</v>
      </c>
      <c r="I70" s="19" t="n">
        <v>0</v>
      </c>
      <c r="J70" s="19">
        <f>SUM(F70:I70)</f>
        <v/>
      </c>
    </row>
    <row r="71" ht="18.75" customHeight="1" s="4">
      <c r="B71" s="18" t="n">
        <v>25002045000024</v>
      </c>
      <c r="C71" s="50" t="inlineStr">
        <is>
          <t>FUNDA CASCO MODELO  GOLFO PIXELADA Z/N</t>
        </is>
      </c>
      <c r="D71" s="51" t="n"/>
      <c r="E71" s="52" t="n"/>
      <c r="F71" s="19" t="n">
        <v>0</v>
      </c>
      <c r="G71" s="19" t="n">
        <v>0</v>
      </c>
      <c r="H71" s="19" t="n">
        <v>100</v>
      </c>
      <c r="I71" s="19" t="n">
        <v>406</v>
      </c>
      <c r="J71" s="19">
        <f>SUM(F71:I71)</f>
        <v/>
      </c>
    </row>
    <row r="72" ht="18.75" customHeight="1" s="4">
      <c r="B72" s="18" t="n">
        <v>25002045000031</v>
      </c>
      <c r="C72" s="72" t="inlineStr">
        <is>
          <t>FUNDA CUBRE CASCO MULTICAM</t>
        </is>
      </c>
      <c r="D72" s="71" t="n"/>
      <c r="E72" s="60" t="n"/>
      <c r="F72" s="19" t="n">
        <v>707</v>
      </c>
      <c r="G72" s="19" t="n">
        <v>0</v>
      </c>
      <c r="H72" s="19" t="n">
        <v>0</v>
      </c>
      <c r="I72" s="19" t="n">
        <v>30</v>
      </c>
      <c r="J72" s="19">
        <f>SUM(F72:I72)</f>
        <v/>
      </c>
    </row>
    <row r="73" ht="18.75" customHeight="1" s="4">
      <c r="B73" s="18" t="n">
        <v>25002047000070</v>
      </c>
      <c r="C73" s="72" t="inlineStr">
        <is>
          <t>LINTERNA</t>
        </is>
      </c>
      <c r="D73" s="71" t="n"/>
      <c r="E73" s="60" t="n"/>
      <c r="F73" s="19" t="n">
        <v>0</v>
      </c>
      <c r="G73" s="19" t="n">
        <v>80</v>
      </c>
      <c r="H73" s="19" t="n">
        <v>0</v>
      </c>
      <c r="I73" s="19" t="n">
        <v>0</v>
      </c>
      <c r="J73" s="19">
        <f>SUM(F73:I73)</f>
        <v/>
      </c>
    </row>
    <row r="74" ht="18.75" customHeight="1" s="4">
      <c r="B74" s="58" t="inlineStr">
        <is>
          <t>VARIOS CODIGOS</t>
        </is>
      </c>
      <c r="C74" s="72" t="inlineStr">
        <is>
          <t>MONO DE VUELO</t>
        </is>
      </c>
      <c r="D74" s="71" t="n"/>
      <c r="E74" s="60" t="n"/>
      <c r="F74" s="19" t="n">
        <v>0</v>
      </c>
      <c r="G74" s="19" t="n">
        <v>16</v>
      </c>
      <c r="H74" s="19" t="n">
        <v>68</v>
      </c>
      <c r="I74" s="19" t="n">
        <v>5</v>
      </c>
      <c r="J74" s="19">
        <f>SUM(F74:I74)</f>
        <v/>
      </c>
    </row>
    <row r="75" ht="18.75" customHeight="1" s="4">
      <c r="B75" s="18" t="n">
        <v>25002032000001</v>
      </c>
      <c r="C75" s="72" t="inlineStr">
        <is>
          <t>BANDEJA AUTOSERVICIO ACERO INOXIDABLE</t>
        </is>
      </c>
      <c r="D75" s="71" t="n"/>
      <c r="E75" s="60" t="n"/>
      <c r="F75" s="19" t="n">
        <v>0</v>
      </c>
      <c r="G75" s="19" t="n">
        <v>0</v>
      </c>
      <c r="H75" s="19" t="n">
        <v>60</v>
      </c>
      <c r="I75" s="19" t="n">
        <v>0</v>
      </c>
      <c r="J75" s="19">
        <f>SUM(F75:I75)</f>
        <v/>
      </c>
    </row>
    <row r="76" ht="18.75" customHeight="1" s="4">
      <c r="B76" s="18" t="n">
        <v>25002032000006</v>
      </c>
      <c r="C76" s="72" t="inlineStr">
        <is>
          <t>JUEGO CUBIERTO METAL</t>
        </is>
      </c>
      <c r="D76" s="71" t="n"/>
      <c r="E76" s="60" t="n"/>
      <c r="F76" s="19" t="n">
        <v>0</v>
      </c>
      <c r="G76" s="19" t="n">
        <v>0</v>
      </c>
      <c r="H76" s="19" t="n">
        <v>143</v>
      </c>
      <c r="I76" s="19" t="n">
        <v>0</v>
      </c>
      <c r="J76" s="19">
        <f>SUM(F76:I76)</f>
        <v/>
      </c>
    </row>
    <row r="77" ht="18.75" customHeight="1" s="4">
      <c r="B77" s="18" t="n">
        <v>25002032000008</v>
      </c>
      <c r="C77" s="72" t="inlineStr">
        <is>
          <t>TERMO TRANSPORTADOR DE ALIMENTO</t>
        </is>
      </c>
      <c r="D77" s="71" t="n"/>
      <c r="E77" s="60" t="n"/>
      <c r="F77" s="19" t="n">
        <v>0</v>
      </c>
      <c r="G77" s="19" t="n">
        <v>0</v>
      </c>
      <c r="H77" s="19" t="n">
        <v>5</v>
      </c>
      <c r="I77" s="19" t="n">
        <v>2</v>
      </c>
      <c r="J77" s="19">
        <f>SUM(F77:I77)</f>
        <v/>
      </c>
    </row>
    <row r="78" ht="18.75" customHeight="1" s="4">
      <c r="B78" s="18" t="n">
        <v>25002033000003</v>
      </c>
      <c r="C78" s="72" t="inlineStr">
        <is>
          <t>MOCHILA ASALTO VERDE (ESTANDAR)</t>
        </is>
      </c>
      <c r="D78" s="71" t="n"/>
      <c r="E78" s="60" t="n"/>
      <c r="F78" s="19" t="n">
        <v>0</v>
      </c>
      <c r="G78" s="19" t="n">
        <v>0</v>
      </c>
      <c r="H78" s="19" t="n">
        <v>6</v>
      </c>
      <c r="I78" s="19" t="n">
        <v>0</v>
      </c>
      <c r="J78" s="19">
        <f>SUM(F78:I78)</f>
        <v/>
      </c>
    </row>
    <row r="79" ht="18.75" customHeight="1" s="4">
      <c r="B79" s="18" t="n">
        <v>25002034000002</v>
      </c>
      <c r="C79" s="72" t="inlineStr">
        <is>
          <t>CINTURON VERDE PARA PANTALON DE COMBATE</t>
        </is>
      </c>
      <c r="D79" s="71" t="n"/>
      <c r="E79" s="60" t="n"/>
      <c r="F79" s="19" t="n">
        <v>0</v>
      </c>
      <c r="G79" s="19" t="n">
        <v>0</v>
      </c>
      <c r="H79" s="19" t="n">
        <v>158</v>
      </c>
      <c r="I79" s="19" t="n">
        <v>15</v>
      </c>
      <c r="J79" s="19">
        <f>SUM(F79:I79)</f>
        <v/>
      </c>
    </row>
    <row r="80" ht="18.75" customHeight="1" s="4">
      <c r="B80" s="18" t="n">
        <v>25002036000001</v>
      </c>
      <c r="C80" s="72" t="inlineStr">
        <is>
          <t>PORTA CARGADOR VERDE PARA FUSIL</t>
        </is>
      </c>
      <c r="D80" s="71" t="n"/>
      <c r="E80" s="60" t="n"/>
      <c r="F80" s="19" t="n">
        <v>0</v>
      </c>
      <c r="G80" s="19" t="n">
        <v>0</v>
      </c>
      <c r="H80" s="19" t="n">
        <v>4</v>
      </c>
      <c r="I80" s="19" t="n">
        <v>10</v>
      </c>
      <c r="J80" s="19">
        <f>SUM(F80:I80)</f>
        <v/>
      </c>
    </row>
    <row r="81" ht="18.75" customHeight="1" s="4">
      <c r="B81" s="18" t="n">
        <v>25002036000004</v>
      </c>
      <c r="C81" s="72" t="inlineStr">
        <is>
          <t>PORTA PLATO TELA COYOTE</t>
        </is>
      </c>
      <c r="D81" s="71" t="n"/>
      <c r="E81" s="60" t="n"/>
      <c r="F81" s="19" t="n">
        <v>0</v>
      </c>
      <c r="G81" s="19" t="n">
        <v>0</v>
      </c>
      <c r="H81" s="19" t="n">
        <v>80</v>
      </c>
      <c r="I81" s="19" t="n">
        <v>0</v>
      </c>
      <c r="J81" s="19">
        <f>SUM(F81:I81)</f>
        <v/>
      </c>
    </row>
    <row r="82" ht="18.75" customHeight="1" s="4">
      <c r="B82" s="18" t="n">
        <v>25002036000011</v>
      </c>
      <c r="C82" s="72" t="inlineStr">
        <is>
          <t>BOLSA GUARDA ROPA TABACO</t>
        </is>
      </c>
      <c r="D82" s="71" t="n"/>
      <c r="E82" s="60" t="n"/>
      <c r="F82" s="19" t="n">
        <v>0</v>
      </c>
      <c r="G82" s="19" t="n">
        <v>0</v>
      </c>
      <c r="H82" s="19" t="n">
        <v>2</v>
      </c>
      <c r="I82" s="19" t="n">
        <v>0</v>
      </c>
      <c r="J82" s="19">
        <f>SUM(F82:I82)</f>
        <v/>
      </c>
    </row>
    <row r="83" ht="18.75" customHeight="1" s="4">
      <c r="B83" s="18" t="n">
        <v>25002036000012</v>
      </c>
      <c r="C83" s="72" t="inlineStr">
        <is>
          <t>BOLSA GUARDA ROPA OCRE</t>
        </is>
      </c>
      <c r="D83" s="71" t="n"/>
      <c r="E83" s="60" t="n"/>
      <c r="F83" s="19" t="n">
        <v>0</v>
      </c>
      <c r="G83" s="19" t="n">
        <v>0</v>
      </c>
      <c r="H83" s="19" t="n">
        <v>11</v>
      </c>
      <c r="I83" s="19" t="n">
        <v>0</v>
      </c>
      <c r="J83" s="19">
        <f>SUM(F83:I83)</f>
        <v/>
      </c>
    </row>
    <row r="84" ht="18.75" customHeight="1" s="4">
      <c r="B84" s="18" t="n">
        <v>25002039000012</v>
      </c>
      <c r="C84" s="50" t="inlineStr">
        <is>
          <t>ANTIPARRA DE COMBATE 3 MICAS</t>
        </is>
      </c>
      <c r="D84" s="51" t="n"/>
      <c r="E84" s="52" t="n"/>
      <c r="F84" s="19" t="n">
        <v>0</v>
      </c>
      <c r="G84" s="19" t="n">
        <v>0</v>
      </c>
      <c r="H84" s="19" t="n">
        <v>87</v>
      </c>
      <c r="I84" s="19" t="n">
        <v>0</v>
      </c>
      <c r="J84" s="19">
        <f>SUM(F84:I84)</f>
        <v/>
      </c>
    </row>
    <row r="85" ht="18.75" customHeight="1" s="4">
      <c r="B85" s="18" t="n">
        <v>25002040000001</v>
      </c>
      <c r="C85" s="50" t="inlineStr">
        <is>
          <t>CANTIMPLORA PLASTICA VERDE</t>
        </is>
      </c>
      <c r="D85" s="51" t="n"/>
      <c r="E85" s="52" t="n"/>
      <c r="F85" s="19" t="n">
        <v>0</v>
      </c>
      <c r="G85" s="19" t="n">
        <v>0</v>
      </c>
      <c r="H85" s="19" t="n">
        <v>14</v>
      </c>
      <c r="I85" s="19" t="n">
        <v>3</v>
      </c>
      <c r="J85" s="19">
        <f>SUM(F85:I85)</f>
        <v/>
      </c>
    </row>
    <row r="86" ht="18.75" customHeight="1" s="4">
      <c r="B86" s="18" t="n">
        <v>25002040000003</v>
      </c>
      <c r="C86" s="50" t="inlineStr">
        <is>
          <t>JARRO ALUMINIO CANTIMPLORA</t>
        </is>
      </c>
      <c r="D86" s="51" t="n"/>
      <c r="E86" s="52" t="n"/>
      <c r="F86" s="19" t="n">
        <v>0</v>
      </c>
      <c r="G86" s="19" t="n">
        <v>0</v>
      </c>
      <c r="H86" s="19" t="n">
        <v>33</v>
      </c>
      <c r="I86" s="19" t="n">
        <v>4</v>
      </c>
      <c r="J86" s="19">
        <f>SUM(F86:I86)</f>
        <v/>
      </c>
    </row>
    <row r="87" ht="18.75" customHeight="1" s="4">
      <c r="B87" s="18" t="n">
        <v>25002044000023</v>
      </c>
      <c r="C87" s="50" t="inlineStr">
        <is>
          <t>JUEGO DE RODILLERAS Y CODERAS COYOTE</t>
        </is>
      </c>
      <c r="D87" s="51" t="n"/>
      <c r="E87" s="52" t="n"/>
      <c r="F87" s="19" t="n">
        <v>0</v>
      </c>
      <c r="G87" s="19" t="n">
        <v>0</v>
      </c>
      <c r="H87" s="19" t="n">
        <v>163</v>
      </c>
      <c r="I87" s="19" t="n">
        <v>0</v>
      </c>
      <c r="J87" s="19">
        <f>SUM(F87:I87)</f>
        <v/>
      </c>
    </row>
    <row r="88" ht="18.75" customHeight="1" s="4">
      <c r="B88" s="18" t="n">
        <v>25002044000029</v>
      </c>
      <c r="C88" s="50" t="inlineStr">
        <is>
          <t>CODERAS COYOTE</t>
        </is>
      </c>
      <c r="D88" s="51" t="n"/>
      <c r="E88" s="52" t="n"/>
      <c r="F88" s="19" t="n">
        <v>0</v>
      </c>
      <c r="G88" s="19" t="n">
        <v>0</v>
      </c>
      <c r="H88" s="19" t="n">
        <v>38</v>
      </c>
      <c r="I88" s="19" t="n">
        <v>0</v>
      </c>
      <c r="J88" s="19">
        <f>SUM(F88:I88)</f>
        <v/>
      </c>
    </row>
    <row r="89" ht="18.75" customHeight="1" s="4">
      <c r="B89" s="18" t="n">
        <v>25002044000030</v>
      </c>
      <c r="C89" s="50" t="inlineStr">
        <is>
          <t>RODILLERAS COYOTE</t>
        </is>
      </c>
      <c r="D89" s="51" t="n"/>
      <c r="E89" s="52" t="n"/>
      <c r="F89" s="19" t="n">
        <v>0</v>
      </c>
      <c r="G89" s="19" t="n">
        <v>0</v>
      </c>
      <c r="H89" s="19" t="n">
        <v>38</v>
      </c>
      <c r="I89" s="19" t="n">
        <v>0</v>
      </c>
      <c r="J89" s="19">
        <f>SUM(F89:I89)</f>
        <v/>
      </c>
    </row>
    <row r="90" ht="18.75" customHeight="1" s="4">
      <c r="B90" s="18" t="n">
        <v>25001010000033</v>
      </c>
      <c r="C90" s="50" t="inlineStr">
        <is>
          <t>CHAQUETA ALUNIZADA PBI/KEVLAR</t>
        </is>
      </c>
      <c r="D90" s="51" t="n"/>
      <c r="E90" s="52" t="n"/>
      <c r="F90" s="19" t="n">
        <v>0</v>
      </c>
      <c r="G90" s="19" t="n">
        <v>0</v>
      </c>
      <c r="H90" s="19" t="n">
        <v>6</v>
      </c>
      <c r="I90" s="19" t="n">
        <v>0</v>
      </c>
      <c r="J90" s="19">
        <f>SUM(F90:I90)</f>
        <v/>
      </c>
    </row>
    <row r="91" ht="18.75" customHeight="1" s="4">
      <c r="B91" s="18" t="n">
        <v>25001014000033</v>
      </c>
      <c r="C91" s="50" t="inlineStr">
        <is>
          <t>JARDINERA ALUMINIZADA PBI/KEVLAR</t>
        </is>
      </c>
      <c r="D91" s="51" t="n"/>
      <c r="E91" s="52" t="n"/>
      <c r="F91" s="19" t="n">
        <v>0</v>
      </c>
      <c r="G91" s="19" t="n">
        <v>0</v>
      </c>
      <c r="H91" s="19" t="n">
        <v>6</v>
      </c>
      <c r="I91" s="19" t="n">
        <v>0</v>
      </c>
      <c r="J91" s="19">
        <f>SUM(F91:I91)</f>
        <v/>
      </c>
    </row>
    <row r="92" ht="18.75" customHeight="1" s="4">
      <c r="B92" s="18" t="n">
        <v>25002044000076</v>
      </c>
      <c r="C92" s="50" t="inlineStr">
        <is>
          <t>PAR DE GUANTES DE BOMBERO</t>
        </is>
      </c>
      <c r="D92" s="51" t="n"/>
      <c r="E92" s="52" t="n"/>
      <c r="F92" s="19" t="n">
        <v>0</v>
      </c>
      <c r="G92" s="19" t="n">
        <v>0</v>
      </c>
      <c r="H92" s="19" t="n">
        <v>6</v>
      </c>
      <c r="I92" s="19" t="n">
        <v>0</v>
      </c>
      <c r="J92" s="19">
        <f>SUM(F92:I92)</f>
        <v/>
      </c>
    </row>
    <row r="93" ht="18.75" customHeight="1" s="4">
      <c r="B93" s="18" t="n">
        <v>8415013950005</v>
      </c>
      <c r="C93" s="50" t="inlineStr">
        <is>
          <t>BOLSA CASCO DE VUELO</t>
        </is>
      </c>
      <c r="D93" s="51" t="n"/>
      <c r="E93" s="52" t="n"/>
      <c r="F93" s="19" t="n">
        <v>0</v>
      </c>
      <c r="G93" s="19" t="n">
        <v>0</v>
      </c>
      <c r="H93" s="19" t="n">
        <v>49</v>
      </c>
      <c r="I93" s="19" t="n">
        <v>0</v>
      </c>
      <c r="J93" s="19">
        <f>SUM(F93:I93)</f>
        <v/>
      </c>
    </row>
    <row r="94" ht="18.75" customHeight="1" s="4">
      <c r="C94" s="59" t="n"/>
      <c r="K94" s="8" t="n"/>
    </row>
    <row r="95" ht="18.75" customHeight="1" s="4">
      <c r="B95" s="36" t="n"/>
      <c r="C95" s="34" t="n"/>
      <c r="D95" s="34" t="n"/>
      <c r="E95" s="34" t="n"/>
      <c r="F95" s="34" t="n"/>
      <c r="G95" s="34" t="n"/>
      <c r="H95" s="35" t="n"/>
      <c r="I95" s="35" t="n"/>
      <c r="J95" s="35" t="n"/>
    </row>
    <row r="96" ht="18.75" customHeight="1" s="4">
      <c r="B96" s="36" t="n"/>
      <c r="C96" s="34" t="n"/>
      <c r="D96" s="34" t="n"/>
      <c r="E96" s="34" t="n"/>
      <c r="H96" s="35" t="n"/>
      <c r="I96" s="35" t="n"/>
      <c r="J96" s="35" t="n"/>
      <c r="K96" s="2" t="n"/>
    </row>
    <row r="97" ht="18.75" customHeight="1" s="4">
      <c r="B97" s="36" t="n"/>
      <c r="C97" s="34" t="n"/>
      <c r="F97" s="35" t="n"/>
      <c r="G97" s="35" t="n"/>
      <c r="H97" s="35" t="n"/>
      <c r="I97" s="35" t="n"/>
      <c r="J97" s="35" t="n"/>
    </row>
    <row r="98" ht="18.75" customHeight="1" s="4">
      <c r="B98" s="36" t="n"/>
      <c r="C98" s="34" t="n"/>
      <c r="F98" s="35" t="n"/>
      <c r="G98" s="35" t="n"/>
      <c r="H98" s="35" t="n"/>
      <c r="I98" s="35" t="n"/>
      <c r="J98" s="35" t="n"/>
    </row>
    <row r="99" ht="18.75" customHeight="1" s="4">
      <c r="B99" s="36" t="n"/>
      <c r="C99" s="34" t="n"/>
    </row>
    <row r="100" ht="18.75" customHeight="1" s="4">
      <c r="B100" s="36" t="n"/>
      <c r="C100" s="34" t="n"/>
      <c r="I100" s="1" t="inlineStr">
        <is>
          <t> </t>
        </is>
      </c>
    </row>
    <row r="101" ht="18.75" customHeight="1" s="4">
      <c r="B101" s="36" t="n"/>
      <c r="C101" s="34" t="n"/>
    </row>
    <row r="102" ht="18.75" customHeight="1" s="4">
      <c r="B102" s="36" t="n"/>
      <c r="C102" s="34" t="n"/>
      <c r="F102" s="35" t="n"/>
      <c r="G102" s="35" t="n"/>
      <c r="H102" s="35" t="n"/>
      <c r="I102" s="35" t="n"/>
      <c r="J102" s="35" t="n"/>
    </row>
    <row r="103" ht="18.75" customHeight="1" s="4">
      <c r="B103" s="36" t="inlineStr">
        <is>
          <t>DIEGO VASQUEZ LAZO</t>
        </is>
      </c>
      <c r="E103" s="22" t="n"/>
      <c r="F103" s="35" t="inlineStr">
        <is>
          <t>LUCAS BORLANDO REYES</t>
        </is>
      </c>
    </row>
    <row r="104" ht="18.75" customHeight="1" s="4">
      <c r="B104" s="36" t="inlineStr">
        <is>
          <t>Capitan</t>
        </is>
      </c>
      <c r="E104" s="22" t="n"/>
      <c r="F104" s="35" t="inlineStr">
        <is>
          <t>Cabo Segundo</t>
        </is>
      </c>
    </row>
    <row r="105" ht="18.75" customHeight="1" s="4">
      <c r="B105" s="36" t="inlineStr">
        <is>
          <t>Cdte. Pelotón Logístico</t>
        </is>
      </c>
      <c r="E105" s="22" t="n"/>
      <c r="F105" s="35" t="inlineStr">
        <is>
          <t>Guarda Almácen de Vestuario y Equipo</t>
        </is>
      </c>
    </row>
    <row r="106" ht="18.75" customHeight="1" s="4">
      <c r="B106" s="36" t="n"/>
      <c r="C106" s="34" t="n"/>
      <c r="F106" s="35" t="n"/>
      <c r="G106" s="35" t="n"/>
      <c r="H106" s="35" t="n"/>
      <c r="I106" s="35" t="n"/>
      <c r="J106" s="35" t="n"/>
    </row>
    <row r="107" ht="18.75" customHeight="1" s="4">
      <c r="B107" s="36" t="n"/>
      <c r="C107" s="34" t="n"/>
      <c r="F107" s="35" t="n"/>
      <c r="G107" s="35" t="n"/>
      <c r="H107" s="35" t="n"/>
      <c r="I107" s="35" t="n"/>
      <c r="J107" s="35" t="n"/>
    </row>
    <row r="108" ht="18.75" customHeight="1" s="4">
      <c r="B108" s="36" t="n"/>
      <c r="C108" s="34" t="n"/>
      <c r="D108" s="34" t="n"/>
      <c r="E108" s="34" t="n"/>
      <c r="F108" s="35" t="n"/>
      <c r="G108" s="35" t="n"/>
      <c r="H108" s="35" t="n"/>
      <c r="I108" s="35" t="n"/>
      <c r="J108" s="35" t="n"/>
    </row>
    <row r="109" ht="18.75" customHeight="1" s="4">
      <c r="B109" s="36" t="n"/>
      <c r="C109" s="34" t="n"/>
      <c r="F109" s="35" t="n"/>
      <c r="G109" s="35" t="n"/>
      <c r="H109" s="35" t="n"/>
      <c r="I109" s="35" t="n"/>
      <c r="J109" s="35" t="n"/>
    </row>
    <row r="110" ht="18.75" customHeight="1" s="4">
      <c r="B110" s="36" t="n"/>
      <c r="C110" s="34" t="n"/>
      <c r="F110" s="35" t="n"/>
      <c r="G110" s="35" t="n"/>
      <c r="H110" s="35" t="n"/>
      <c r="I110" s="35" t="n"/>
      <c r="J110" s="35" t="n"/>
    </row>
    <row r="111" ht="18.75" customHeight="1" s="4">
      <c r="B111" s="36" t="n"/>
      <c r="C111" s="34" t="n"/>
      <c r="D111" s="34" t="n"/>
      <c r="E111" s="34" t="n"/>
      <c r="F111" s="35" t="n"/>
      <c r="G111" s="35" t="n"/>
      <c r="H111" s="35" t="n"/>
      <c r="I111" s="35" t="n"/>
      <c r="J111" s="35" t="n"/>
    </row>
    <row r="112" ht="18.75" customHeight="1" s="4">
      <c r="B112" s="36" t="n"/>
      <c r="C112" s="34" t="n"/>
      <c r="F112" s="35" t="n"/>
      <c r="G112" s="35" t="n"/>
      <c r="H112" s="35" t="n"/>
      <c r="I112" s="35" t="n"/>
      <c r="J112" s="35" t="n"/>
    </row>
    <row r="113" ht="18.75" customHeight="1" s="4">
      <c r="B113" s="36" t="n"/>
      <c r="C113" s="34" t="n"/>
      <c r="F113" s="35" t="n"/>
      <c r="G113" s="35" t="n"/>
      <c r="H113" s="35" t="n"/>
      <c r="I113" s="35" t="n"/>
      <c r="J113" s="35" t="n"/>
    </row>
    <row r="114" ht="18.75" customHeight="1" s="4">
      <c r="B114" s="36" t="n"/>
      <c r="C114" s="34" t="n"/>
      <c r="F114" s="35" t="n"/>
      <c r="G114" s="35" t="n"/>
      <c r="H114" s="35" t="n"/>
      <c r="I114" s="35" t="n"/>
      <c r="J114" s="35" t="n"/>
    </row>
    <row r="115" ht="18.75" customHeight="1" s="4">
      <c r="B115" s="36" t="n"/>
      <c r="C115" s="34" t="n"/>
      <c r="F115" s="35" t="n"/>
      <c r="G115" s="35" t="n"/>
      <c r="H115" s="35" t="n"/>
      <c r="I115" s="35" t="n"/>
      <c r="J115" s="35" t="n"/>
    </row>
    <row r="116" ht="18.75" customHeight="1" s="4">
      <c r="B116" s="36" t="n"/>
      <c r="C116" s="34" t="n"/>
      <c r="F116" s="35" t="n"/>
      <c r="G116" s="35" t="n"/>
      <c r="H116" s="35" t="n"/>
      <c r="I116" s="35" t="n"/>
      <c r="J116" s="35" t="n"/>
    </row>
    <row r="117" ht="18.75" customHeight="1" s="4">
      <c r="B117" s="36" t="n"/>
      <c r="C117" s="34" t="n"/>
      <c r="F117" s="35" t="n"/>
      <c r="G117" s="35" t="n"/>
      <c r="H117" s="35" t="n"/>
      <c r="I117" s="35" t="n"/>
      <c r="J117" s="35" t="n"/>
    </row>
    <row r="118" ht="18.75" customHeight="1" s="4">
      <c r="B118" s="36" t="n"/>
      <c r="C118" s="34" t="n"/>
      <c r="F118" s="35" t="n"/>
      <c r="G118" s="35" t="n"/>
      <c r="H118" s="35" t="n"/>
      <c r="I118" s="35" t="n"/>
      <c r="J118" s="35" t="n"/>
    </row>
    <row r="119" ht="18.75" customHeight="1" s="4">
      <c r="B119" s="36" t="n"/>
      <c r="C119" s="34" t="n"/>
      <c r="F119" s="35" t="n"/>
      <c r="G119" s="35" t="n"/>
      <c r="H119" s="35" t="n"/>
      <c r="I119" s="35" t="n"/>
      <c r="J119" s="35" t="n"/>
    </row>
    <row r="120" ht="18.75" customHeight="1" s="4">
      <c r="B120" s="36" t="n"/>
      <c r="C120" s="34" t="n"/>
      <c r="F120" s="35" t="n"/>
      <c r="G120" s="35" t="n"/>
      <c r="H120" s="35" t="n"/>
      <c r="I120" s="35" t="n"/>
      <c r="J120" s="35" t="n"/>
    </row>
    <row r="121" ht="18.75" customHeight="1" s="4">
      <c r="B121" s="36" t="n"/>
      <c r="C121" s="22" t="n"/>
      <c r="D121" s="22" t="n"/>
      <c r="E121" s="22" t="n"/>
      <c r="F121" s="35" t="n"/>
      <c r="G121" s="35" t="n"/>
      <c r="H121" s="35" t="n"/>
      <c r="I121" s="35" t="n"/>
      <c r="J121" s="35" t="n"/>
    </row>
    <row r="122" ht="18.75" customHeight="1" s="4"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</row>
    <row r="123" ht="18.75" customHeight="1" s="4"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</row>
    <row r="124" ht="18.75" customHeight="1" s="4"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</row>
  </sheetData>
  <mergeCells count="94">
    <mergeCell ref="C80:E80"/>
    <mergeCell ref="C31:E31"/>
    <mergeCell ref="C40:E40"/>
    <mergeCell ref="C21:E21"/>
    <mergeCell ref="G10:G11"/>
    <mergeCell ref="C60:E60"/>
    <mergeCell ref="C10:E11"/>
    <mergeCell ref="C18:E18"/>
    <mergeCell ref="C101:E101"/>
    <mergeCell ref="C77:E77"/>
    <mergeCell ref="C34:E34"/>
    <mergeCell ref="C42:E42"/>
    <mergeCell ref="C74:E74"/>
    <mergeCell ref="B105:D105"/>
    <mergeCell ref="F1:J1"/>
    <mergeCell ref="C20:E20"/>
    <mergeCell ref="C113:E113"/>
    <mergeCell ref="H10:H11"/>
    <mergeCell ref="C25:E25"/>
    <mergeCell ref="C112:E112"/>
    <mergeCell ref="C99:E99"/>
    <mergeCell ref="C94:E94"/>
    <mergeCell ref="C118:E118"/>
    <mergeCell ref="C75:E75"/>
    <mergeCell ref="C22:E22"/>
    <mergeCell ref="C114:E114"/>
    <mergeCell ref="C59:E59"/>
    <mergeCell ref="C12:E12"/>
    <mergeCell ref="C65:E65"/>
    <mergeCell ref="C52:E52"/>
    <mergeCell ref="C61:E61"/>
    <mergeCell ref="C39:E39"/>
    <mergeCell ref="C70:E70"/>
    <mergeCell ref="C106:E106"/>
    <mergeCell ref="C81:E81"/>
    <mergeCell ref="C38:E38"/>
    <mergeCell ref="C13:E13"/>
    <mergeCell ref="C15:E15"/>
    <mergeCell ref="F9:G9"/>
    <mergeCell ref="C24:E24"/>
    <mergeCell ref="B7:J7"/>
    <mergeCell ref="C33:E33"/>
    <mergeCell ref="C116:E116"/>
    <mergeCell ref="C79:E79"/>
    <mergeCell ref="C73:E73"/>
    <mergeCell ref="C26:E26"/>
    <mergeCell ref="C35:E35"/>
    <mergeCell ref="F3:H3"/>
    <mergeCell ref="F10:F11"/>
    <mergeCell ref="C63:E63"/>
    <mergeCell ref="C16:E16"/>
    <mergeCell ref="C117:E117"/>
    <mergeCell ref="C55:E55"/>
    <mergeCell ref="F103:J103"/>
    <mergeCell ref="B1:D1"/>
    <mergeCell ref="C115:E115"/>
    <mergeCell ref="C36:E36"/>
    <mergeCell ref="F104:J104"/>
    <mergeCell ref="C67:E67"/>
    <mergeCell ref="C72:E72"/>
    <mergeCell ref="C28:E28"/>
    <mergeCell ref="B5:J5"/>
    <mergeCell ref="C37:E37"/>
    <mergeCell ref="C69:E69"/>
    <mergeCell ref="C78:E78"/>
    <mergeCell ref="C30:E30"/>
    <mergeCell ref="I10:I11"/>
    <mergeCell ref="C62:E62"/>
    <mergeCell ref="C14:E14"/>
    <mergeCell ref="C98:E98"/>
    <mergeCell ref="C107:E107"/>
    <mergeCell ref="C64:E64"/>
    <mergeCell ref="C41:E41"/>
    <mergeCell ref="C56:E56"/>
    <mergeCell ref="C43:E43"/>
    <mergeCell ref="B103:D103"/>
    <mergeCell ref="C76:E76"/>
    <mergeCell ref="C120:E120"/>
    <mergeCell ref="C27:E27"/>
    <mergeCell ref="C110:E110"/>
    <mergeCell ref="C119:E119"/>
    <mergeCell ref="C17:E17"/>
    <mergeCell ref="C82:E82"/>
    <mergeCell ref="B104:D104"/>
    <mergeCell ref="C66:E66"/>
    <mergeCell ref="C19:E19"/>
    <mergeCell ref="C102:E102"/>
    <mergeCell ref="C68:E68"/>
    <mergeCell ref="C83:E83"/>
    <mergeCell ref="F105:J105"/>
    <mergeCell ref="C97:E97"/>
    <mergeCell ref="C29:E29"/>
    <mergeCell ref="C100:E100"/>
    <mergeCell ref="C109:E109"/>
  </mergeCells>
  <pageMargins left="1.102362204724409" right="0" top="0.984251968503937" bottom="0.984251968503937" header="0.5118110236220472" footer="0.5118110236220472"/>
  <pageSetup orientation="portrait" paperSize="5" scale="75"/>
  <colBreaks count="1" manualBreakCount="1">
    <brk id="10" min="0" max="127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C13" zoomScale="130" zoomScaleNormal="130" workbookViewId="0">
      <selection activeCell="H19" sqref="H19:H20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2014-07-29T09:35:35Z</dcterms:created>
  <dcterms:modified xsi:type="dcterms:W3CDTF">2026-06-01T12:31:07Z</dcterms:modified>
  <cp:lastModifiedBy>Vestuario&amp;Equipo</cp:lastModifiedBy>
  <cp:lastPrinted>2007-03-26T09:07:48Z</cp:lastPrinted>
</cp:coreProperties>
</file>